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F:\lms-marketing AI-post bai\"/>
    </mc:Choice>
  </mc:AlternateContent>
  <xr:revisionPtr revIDLastSave="0" documentId="8_{763CF670-3502-427A-9338-EBB24F3AC8E2}" xr6:coauthVersionLast="47" xr6:coauthVersionMax="47" xr10:uidLastSave="{00000000-0000-0000-0000-000000000000}"/>
  <bookViews>
    <workbookView xWindow="-96" yWindow="-96" windowWidth="23232" windowHeight="12432" xr2:uid="{00000000-000D-0000-FFFF-FFFF00000000}"/>
  </bookViews>
  <sheets>
    <sheet name="Tong quan" sheetId="1" r:id="rId1"/>
    <sheet name="Muc tieu" sheetId="2" r:id="rId2"/>
    <sheet name="Chan dung KH" sheetId="3" r:id="rId3"/>
    <sheet name="Thong diep" sheetId="4" r:id="rId4"/>
    <sheet name="Kenh" sheetId="5" r:id="rId5"/>
    <sheet name="Lich 4 tuan" sheetId="6" r:id="rId6"/>
    <sheet name="Can bo sung" sheetId="7" r:id="rId7"/>
  </sheets>
  <calcPr calcId="191029"/>
</workbook>
</file>

<file path=xl/calcChain.xml><?xml version="1.0" encoding="utf-8"?>
<calcChain xmlns="http://schemas.openxmlformats.org/spreadsheetml/2006/main">
  <c r="F10" i="6" l="1"/>
  <c r="E10" i="6"/>
  <c r="D10" i="6"/>
  <c r="F9" i="6"/>
  <c r="F8" i="6"/>
  <c r="F7" i="6"/>
  <c r="F6" i="6"/>
  <c r="F14" i="2"/>
</calcChain>
</file>

<file path=xl/sharedStrings.xml><?xml version="1.0" encoding="utf-8"?>
<sst xmlns="http://schemas.openxmlformats.org/spreadsheetml/2006/main" count="150" uniqueCount="140">
  <si>
    <t>KẾ HOẠCH MARKETING 30 NGÀY: THẢO AN</t>
  </si>
  <si>
    <t>Thương hiệu GIẢ ĐỊNH dùng để demo. Học viên thay bằng sản phẩm của mình.</t>
  </si>
  <si>
    <t>Hạng mục</t>
  </si>
  <si>
    <t>Nội dung</t>
  </si>
  <si>
    <t>Thương hiệu</t>
  </si>
  <si>
    <t>Thảo An: mỹ phẩm dưỡng da từ thảo mộc, sản xuất tại Việt Nam.</t>
  </si>
  <si>
    <t>Định vị</t>
  </si>
  <si>
    <t>Lành tính, thành phần thiên nhiên, hợp da nhạy cảm, giá tầm trung.</t>
  </si>
  <si>
    <t>Sản phẩm chính</t>
  </si>
  <si>
    <t>Serum rau má B5 (320k/30ml); Kem nghệ + mật ong (250k/50ml); Mặt nạ đất sét trà xanh (180k/hộp 5 miếng).</t>
  </si>
  <si>
    <t>Mục tiêu chính</t>
  </si>
  <si>
    <t>30 đơn hàng trong 30 ngày, mọi đơn gắn được nguồn kênh.</t>
  </si>
  <si>
    <t>Kênh (sau chỉnh)</t>
  </si>
  <si>
    <t>Facebook (bài + ads + inbox), Shopee, Website. Đã bỏ Zalo.</t>
  </si>
  <si>
    <t>Thông điệp chủ đạo</t>
  </si>
  <si>
    <t>Da khỏe từ thảo mộc Việt. Nhấn: không cồn, không hương liệu tổng hợp, test da liễu.</t>
  </si>
  <si>
    <t>Các sheet trong file</t>
  </si>
  <si>
    <t>Muc tieu</t>
  </si>
  <si>
    <t>6 mục tiêu đo được + nhịp đơn theo tuần</t>
  </si>
  <si>
    <t>Chan dung KH</t>
  </si>
  <si>
    <t>1 chân dung khách chính</t>
  </si>
  <si>
    <t>Thong diep</t>
  </si>
  <si>
    <t>3 thông điệp bán hàng</t>
  </si>
  <si>
    <t>Kenh</t>
  </si>
  <si>
    <t>3 kênh đề xuất kèm lý do</t>
  </si>
  <si>
    <t>Lich 4 tuan</t>
  </si>
  <si>
    <t>Lịch việc + cột ngân sách tự tính theo tổng bạn điền</t>
  </si>
  <si>
    <t>Can bo sung</t>
  </si>
  <si>
    <t>4 số liệu cần bạn cung cấp để chốt con số</t>
  </si>
  <si>
    <t>MỤC TIÊU ĐO ĐƯỢC (30 NGÀY)</t>
  </si>
  <si>
    <t>Mục tiêu chính đã chốt: 30 đơn hàng trong 30 ngày.</t>
  </si>
  <si>
    <t>#</t>
  </si>
  <si>
    <t>Mục tiêu</t>
  </si>
  <si>
    <t>Con số</t>
  </si>
  <si>
    <t>Cách đo</t>
  </si>
  <si>
    <t>Ghi chú</t>
  </si>
  <si>
    <t>Đơn hàng</t>
  </si>
  <si>
    <t>30 đơn / 30 ngày</t>
  </si>
  <si>
    <t>Đếm đơn từ Website + Shopee + inbox Facebook</t>
  </si>
  <si>
    <t>Đích chính</t>
  </si>
  <si>
    <t>Mỗi đơn biết đến từ kênh nào</t>
  </si>
  <si>
    <t>100% đơn gắn nguồn</t>
  </si>
  <si>
    <t>Link UTM + mã ưu đãi riêng từng kênh + hỏi 'biết shop qua đâu' khi chốt</t>
  </si>
  <si>
    <t>Nền tảng đo lường</t>
  </si>
  <si>
    <t>Nhịp đơn theo tuần</t>
  </si>
  <si>
    <t>T1:3 · T2:6 · T3:9 · T4:12</t>
  </si>
  <si>
    <t>Đếm đơn mỗi tuần</t>
  </si>
  <si>
    <t>Tăng dần theo lực đẩy nội dung + ads (tổng 30)</t>
  </si>
  <si>
    <t>Chi phí mỗi đơn (CPO)</t>
  </si>
  <si>
    <t>tiền ads / số đơn</t>
  </si>
  <si>
    <t>Theo dõi hàng tuần</t>
  </si>
  <si>
    <t>CẦN BỔ SUNG tổng ngân sách ads để chốt ngưỡng CPO</t>
  </si>
  <si>
    <t>Kho nội dung từ review</t>
  </si>
  <si>
    <t>15 nội dung</t>
  </si>
  <si>
    <t>Đếm bài đã dựng</t>
  </si>
  <si>
    <t>Tự làm được, không cần baseline</t>
  </si>
  <si>
    <t>Doanh thu</t>
  </si>
  <si>
    <t>30 đơn x giá trị đơn TB</t>
  </si>
  <si>
    <t>Doanh thu / kỳ</t>
  </si>
  <si>
    <t>CẦN BỔ SUNG giá trị đơn TB hoặc cơ cấu bán</t>
  </si>
  <si>
    <t>Nhịp đơn mục tiêu theo tuần</t>
  </si>
  <si>
    <t>Tuần 1</t>
  </si>
  <si>
    <t>Tuần 2</t>
  </si>
  <si>
    <t>Tuần 3</t>
  </si>
  <si>
    <t>Tuần 4</t>
  </si>
  <si>
    <t>Tổng</t>
  </si>
  <si>
    <t>Đơn mục tiêu</t>
  </si>
  <si>
    <t>CHÂN DUNG KHÁCH CHÍNH</t>
  </si>
  <si>
    <t>Bám đúng nhóm mô tả: nữ 25-40, da nhạy cảm/da mụn, ưu tiên lành tính, ngân sách 200-500k.</t>
  </si>
  <si>
    <t>Thuộc tính</t>
  </si>
  <si>
    <t>Tên gọi nội bộ</t>
  </si>
  <si>
    <t>Chị Ngọc, 30 tuổi, da nhạy cảm dễ kích ứng</t>
  </si>
  <si>
    <t>Nhân khẩu</t>
  </si>
  <si>
    <t>Nữ, 28-34 tuổi, nhân viên văn phòng, thu nhập ổn định tầm trung.</t>
  </si>
  <si>
    <t>Tình trạng da</t>
  </si>
  <si>
    <t>Da nhạy cảm, dễ đỏ rát, thỉnh thoảng nổi mụn. Từng bị kích ứng nên sợ thử đồ mới.</t>
  </si>
  <si>
    <t>Điều cô ấy muốn</t>
  </si>
  <si>
    <t>Da dịu lại, bớt thâm mụn, không cần trắng cấp tốc, chỉ cần 'da khỏe, dùng yên tâm'.</t>
  </si>
  <si>
    <t>Nỗi lo khi mua</t>
  </si>
  <si>
    <t>Sợ thành phần mạnh, sợ cồn, sợ hương liệu gây kích ứng; sợ mua nhầm hàng thổi phồng.</t>
  </si>
  <si>
    <t>Cô ấy tin điều gì</t>
  </si>
  <si>
    <t>Review người thật, bảng thành phần rõ ràng, có test da liễu, thương hiệu Việt minh bạch.</t>
  </si>
  <si>
    <t>Mua ở đâu</t>
  </si>
  <si>
    <t>Lướt Facebook buổi tối, hỏi kỹ qua inbox Facebook trước khi mua, thích chốt đơn trên Shopee.</t>
  </si>
  <si>
    <t>Câu hay nói</t>
  </si>
  <si>
    <t>'Da mình nhạy cảm lắm, dùng cái này có bị rát không?'</t>
  </si>
  <si>
    <t>Cần bổ sung</t>
  </si>
  <si>
    <t>Khách thật phần lớn ở thành phố nào, đã có con chưa, mua lần đầu hay mua lại.</t>
  </si>
  <si>
    <t>BA THÔNG ĐIỆP BÁN HÀNG</t>
  </si>
  <si>
    <t>Bám điểm nhấn: không cồn, không hương liệu tổng hợp, test da liễu.</t>
  </si>
  <si>
    <t>Thông điệp</t>
  </si>
  <si>
    <t>Câu chữ</t>
  </si>
  <si>
    <t>Dùng cho</t>
  </si>
  <si>
    <t>An toàn cho da nhạy cảm</t>
  </si>
  <si>
    <t>Da nhạy cảm, sợ thử đồ mới? Thảo An không cồn, không hương liệu tổng hợp, đã test da liễu. Làm dịu trước, đẹp sau.</t>
  </si>
  <si>
    <t>Cả dòng, mạnh nhất cho Serum rau má B5</t>
  </si>
  <si>
    <t>Thảo mộc Việt, thành phần đọc là hiểu</t>
  </si>
  <si>
    <t>Rau má, nghệ, mật ong, trà xanh. Thành phần thảo mộc Việt bạn gọi tên được, không phải chất lạ khó đọc.</t>
  </si>
  <si>
    <t>Kể chuyện thương hiệu, bài giới thiệu thành phần</t>
  </si>
  <si>
    <t>Giải đúng vấn đề, giá hợp lý</t>
  </si>
  <si>
    <t>Thâm mụn thì có serum rau má B5. Da khô, da mụn thì có kem nghệ mật ong. Lỗ chân lông thì có mặt nạ đất sét trà xanh. Từ 180k, đúng nhu cầu nào chọn cái đó.</t>
  </si>
  <si>
    <t>Bài tư vấn chọn sản phẩm, ads chuyển đổi</t>
  </si>
  <si>
    <t>KÊNH ĐỀ XUẤT KÈM LÝ DO</t>
  </si>
  <si>
    <t>Đã bỏ Zalo. Vai trò tư vấn/chốt dồn về inbox Facebook: cần trả lời nhanh, nếu chậm đơn sẽ rơi.</t>
  </si>
  <si>
    <t>Kênh</t>
  </si>
  <si>
    <t>Vai trò</t>
  </si>
  <si>
    <t>Lý do (bám persona + vấn đề)</t>
  </si>
  <si>
    <t>Facebook (bài + ads + inbox)</t>
  </si>
  <si>
    <t>Đầu phễu tới chốt: kể chuyện, chạy ads, tư vấn/chốt trong inbox</t>
  </si>
  <si>
    <t>Chị Ngọc lướt FB buổi tối. Da nhạy cảm nên hỏi kỹ trước khi mua: inbox FB là nơi trả lời 'có bị rát không' và chốt. Ưu tiên #1.</t>
  </si>
  <si>
    <t>Shopee</t>
  </si>
  <si>
    <t>Cuối phễu: chốt đơn, chứng thực</t>
  </si>
  <si>
    <t>Khách thích mua ở Shopee vì yên tâm đổi trả; đánh giá sao là bằng chứng cho người mua sau.</t>
  </si>
  <si>
    <t>Website</t>
  </si>
  <si>
    <t>Nền tảng tin cậy + gắn nguồn</t>
  </si>
  <si>
    <t>Nơi đặt bảng thành phần, chứng nhận test da liễu, và gắn link UTM để đo nguồn đơn.</t>
  </si>
  <si>
    <t>LỊCH VIỆC 4 TUẦN</t>
  </si>
  <si>
    <t>Điền tổng ngân sách ads tháng vào ô vàng: cột 'Ngân sách (VND)' tự tính theo %.</t>
  </si>
  <si>
    <t>Tổng ngân sách ads tháng (VND):</t>
  </si>
  <si>
    <t>&lt;- điền số của bạn (VND). Để 0 nếu chưa có.</t>
  </si>
  <si>
    <t>Tuần</t>
  </si>
  <si>
    <t>Trọng tâm</t>
  </si>
  <si>
    <t>Việc chính</t>
  </si>
  <si>
    <t>Ngân sách (% tổng)</t>
  </si>
  <si>
    <t>Ngân sách (VND)</t>
  </si>
  <si>
    <t>Dựng nền để đo</t>
  </si>
  <si>
    <t>Tạo UTM + mã ưu đãi riêng từng kênh; viết kịch bản trả lời inbox FB; gom review về 1 file; chuẩn bị bảng thành phần + test da liễu cho Website.</t>
  </si>
  <si>
    <t>Biến review thành nội dung</t>
  </si>
  <si>
    <t>Viết 6-8 bài từ review thật, mỗi bài gắn 1 thông điệp; ghim bài 'chọn đúng sản phẩm'; cập nhật mô tả Shopee; boost nhẹ bài tốt.</t>
  </si>
  <si>
    <t>Chạy ads có đo lường</t>
  </si>
  <si>
    <t>Chạy ads FB nhắm chị Ngọc, dẫn về inbox; test 2 nhóm nội dung (Thông điệp 1 và 3); theo dõi hàng ngày đơn đến từ nội dung nào, CPO.</t>
  </si>
  <si>
    <t>Chốt + đo + rút bài học</t>
  </si>
  <si>
    <t>Retarget và nhắc lại lead treo; xin đánh giá sao Shopee; tổng kết CPO và nội dung thắng; chọn 1-2 nội dung nhân bản tháng sau.</t>
  </si>
  <si>
    <t>CẦN BỔ SUNG (ĐỂ CHỐT CON SỐ THẬT)</t>
  </si>
  <si>
    <t>Điền câu trả lời vào ô vàng. Có câu 1 là tính được tiền từng tuần ở sheet Lich 4 tuan.</t>
  </si>
  <si>
    <t>Câu trả lời của bạn</t>
  </si>
  <si>
    <t>Tổng ngân sách ads tháng bao nhiêu? (đổi % thành tiền + chốt ngưỡng CPO)</t>
  </si>
  <si>
    <t>Giá trị đơn trung bình hoặc sản phẩm nào bán chạy nhất? (suy ra doanh thu từ 30 đơn)</t>
  </si>
  <si>
    <t>Inbox Facebook hiện ai trực, bao lâu trả lời? (đây là chỗ chốt chính sau khi bỏ Zalo)</t>
  </si>
  <si>
    <t>Có sẵn bao nhiêu review để khai thác? (đang giả định &gt;= 15 cho tuần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</si>
</sst>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5"/>
      <color rgb="FFFFFFFF"/>
      <name val="Arial"/>
    </font>
    <font>
      <i/>
      <sz val="10"/>
      <color rgb="FF666666"/>
      <name val="Arial"/>
    </font>
    <font>
      <b/>
      <sz val="11"/>
      <color rgb="FFFFFFFF"/>
      <name val="Arial"/>
    </font>
    <font>
      <b/>
      <sz val="11"/>
      <color rgb="FF000000"/>
      <name val="Arial"/>
    </font>
    <font>
      <sz val="11"/>
      <color rgb="FF000000"/>
      <name val="Arial"/>
    </font>
    <font>
      <b/>
      <sz val="12"/>
      <color rgb="FF1B3A5B"/>
      <name val="Arial"/>
    </font>
    <font>
      <sz val="11"/>
      <color rgb="FF0000FF"/>
      <name val="Arial"/>
    </font>
    <font>
      <i/>
      <sz val="11"/>
      <color rgb="FF666666"/>
      <name val="Arial"/>
    </font>
  </fonts>
  <fills count="7">
    <fill>
      <patternFill patternType="none"/>
    </fill>
    <fill>
      <patternFill patternType="gray125"/>
    </fill>
    <fill>
      <patternFill patternType="solid">
        <fgColor rgb="FF1B3A5B"/>
      </patternFill>
    </fill>
    <fill>
      <patternFill patternType="solid">
        <fgColor rgb="FF3B7A57"/>
      </patternFill>
    </fill>
    <fill>
      <patternFill patternType="solid">
        <fgColor rgb="FFE4EFE9"/>
      </patternFill>
    </fill>
    <fill>
      <patternFill patternType="solid">
        <fgColor rgb="FFFFFFFF"/>
      </patternFill>
    </fill>
    <fill>
      <patternFill patternType="solid">
        <fgColor rgb="FFFFF2CC"/>
      </patternFill>
    </fill>
  </fills>
  <borders count="2">
    <border>
      <left/>
      <right/>
      <top/>
      <bottom/>
      <diagonal/>
    </border>
    <border>
      <left style="thin">
        <color rgb="FFC9D3CC"/>
      </left>
      <right style="thin">
        <color rgb="FFC9D3CC"/>
      </right>
      <top style="thin">
        <color rgb="FFC9D3CC"/>
      </top>
      <bottom style="thin">
        <color rgb="FFC9D3CC"/>
      </bottom>
      <diagonal/>
    </border>
  </borders>
  <cellStyleXfs count="1">
    <xf numFmtId="0" fontId="0" fillId="0" borderId="0"/>
  </cellStyleXfs>
  <cellXfs count="36">
    <xf numFmtId="0" fontId="0" fillId="0" borderId="0" xfId="0"/>
    <xf numFmtId="0" fontId="3" fillId="3" borderId="1" xfId="0" applyFont="1" applyFill="1" applyBorder="1" applyAlignment="1">
      <alignment horizontal="left" vertical="top"/>
    </xf>
    <xf numFmtId="0" fontId="4" fillId="4"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6" fillId="0" borderId="0" xfId="0" applyFont="1" applyAlignment="1">
      <alignment horizontal="left" vertical="top"/>
    </xf>
    <xf numFmtId="0" fontId="4" fillId="0" borderId="0" xfId="0" applyFont="1" applyAlignment="1">
      <alignment horizontal="left" vertical="center" wrapText="1"/>
    </xf>
    <xf numFmtId="0" fontId="5" fillId="0" borderId="0" xfId="0" applyFont="1" applyAlignment="1">
      <alignment horizontal="left" vertical="center" wrapText="1"/>
    </xf>
    <xf numFmtId="0" fontId="3" fillId="3" borderId="1" xfId="0" applyFont="1" applyFill="1" applyBorder="1" applyAlignment="1">
      <alignment horizontal="left" vertical="center" wrapText="1"/>
    </xf>
    <xf numFmtId="0" fontId="5" fillId="4"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4" fillId="0" borderId="1" xfId="0" applyFont="1" applyBorder="1" applyAlignment="1">
      <alignment horizontal="left" vertical="center"/>
    </xf>
    <xf numFmtId="0" fontId="5" fillId="0" borderId="1" xfId="0" applyFont="1" applyBorder="1" applyAlignment="1">
      <alignment horizontal="center" vertical="center"/>
    </xf>
    <xf numFmtId="0" fontId="4" fillId="0" borderId="1" xfId="0" applyFont="1" applyBorder="1" applyAlignment="1">
      <alignment horizontal="center" vertical="center"/>
    </xf>
    <xf numFmtId="3" fontId="7" fillId="6" borderId="1" xfId="0" applyNumberFormat="1" applyFont="1" applyFill="1" applyBorder="1" applyAlignment="1">
      <alignment horizontal="center" vertical="center"/>
    </xf>
    <xf numFmtId="0" fontId="4" fillId="4" borderId="1" xfId="0" applyFont="1" applyFill="1" applyBorder="1" applyAlignment="1">
      <alignment horizontal="left" vertical="center"/>
    </xf>
    <xf numFmtId="0" fontId="5" fillId="4" borderId="1" xfId="0" applyFont="1" applyFill="1" applyBorder="1" applyAlignment="1">
      <alignment horizontal="center" vertical="center"/>
    </xf>
    <xf numFmtId="9" fontId="5" fillId="4" borderId="1" xfId="0" applyNumberFormat="1" applyFont="1" applyFill="1" applyBorder="1" applyAlignment="1">
      <alignment horizontal="center" vertical="center"/>
    </xf>
    <xf numFmtId="3" fontId="5" fillId="4" borderId="1" xfId="0" applyNumberFormat="1" applyFont="1" applyFill="1" applyBorder="1" applyAlignment="1">
      <alignment horizontal="right" vertical="center"/>
    </xf>
    <xf numFmtId="0" fontId="4" fillId="5" borderId="1" xfId="0" applyFont="1" applyFill="1" applyBorder="1" applyAlignment="1">
      <alignment horizontal="left" vertical="center"/>
    </xf>
    <xf numFmtId="0" fontId="5" fillId="5" borderId="1" xfId="0" applyFont="1" applyFill="1" applyBorder="1" applyAlignment="1">
      <alignment horizontal="center" vertical="center"/>
    </xf>
    <xf numFmtId="9" fontId="5" fillId="5" borderId="1" xfId="0" applyNumberFormat="1" applyFont="1" applyFill="1" applyBorder="1" applyAlignment="1">
      <alignment horizontal="center" vertical="center"/>
    </xf>
    <xf numFmtId="3" fontId="5" fillId="5" borderId="1" xfId="0" applyNumberFormat="1" applyFont="1" applyFill="1" applyBorder="1" applyAlignment="1">
      <alignment horizontal="right" vertical="center"/>
    </xf>
    <xf numFmtId="0" fontId="3" fillId="2" borderId="1" xfId="0" applyFont="1" applyFill="1" applyBorder="1" applyAlignment="1">
      <alignment horizontal="left" vertical="center"/>
    </xf>
    <xf numFmtId="0" fontId="5" fillId="2" borderId="1" xfId="0" applyFont="1" applyFill="1" applyBorder="1" applyAlignment="1">
      <alignment horizontal="left" vertical="top"/>
    </xf>
    <xf numFmtId="0" fontId="3" fillId="2" borderId="1" xfId="0" applyFont="1" applyFill="1" applyBorder="1" applyAlignment="1">
      <alignment horizontal="center" vertical="center"/>
    </xf>
    <xf numFmtId="9" fontId="3" fillId="2" borderId="1" xfId="0" applyNumberFormat="1" applyFont="1" applyFill="1" applyBorder="1" applyAlignment="1">
      <alignment horizontal="center" vertical="center"/>
    </xf>
    <xf numFmtId="3" fontId="3" fillId="2" borderId="1" xfId="0" applyNumberFormat="1" applyFont="1" applyFill="1" applyBorder="1" applyAlignment="1">
      <alignment horizontal="right" vertical="center"/>
    </xf>
    <xf numFmtId="0" fontId="5" fillId="6" borderId="1" xfId="0" applyFont="1" applyFill="1" applyBorder="1" applyAlignment="1">
      <alignment horizontal="left" vertical="center"/>
    </xf>
    <xf numFmtId="0" fontId="2" fillId="0" borderId="0" xfId="0" applyFont="1" applyAlignment="1">
      <alignment horizontal="left" vertical="center"/>
    </xf>
    <xf numFmtId="0" fontId="0" fillId="0" borderId="0" xfId="0"/>
    <xf numFmtId="0" fontId="1" fillId="2" borderId="0" xfId="0" applyFont="1" applyFill="1" applyAlignment="1">
      <alignment horizontal="left" vertical="center"/>
    </xf>
    <xf numFmtId="0" fontId="4" fillId="0" borderId="0" xfId="0" applyFont="1" applyAlignment="1">
      <alignment horizontal="left" vertical="center"/>
    </xf>
    <xf numFmtId="0" fontId="8" fillId="0" borderId="0" xfId="0" applyFont="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
  <sheetViews>
    <sheetView showGridLines="0" tabSelected="1" workbookViewId="0">
      <selection sqref="A1:B1"/>
    </sheetView>
  </sheetViews>
  <sheetFormatPr defaultRowHeight="14.4" x14ac:dyDescent="0.55000000000000004"/>
  <cols>
    <col min="1" max="1" width="22" customWidth="1"/>
    <col min="2" max="2" width="78" customWidth="1"/>
  </cols>
  <sheetData>
    <row r="1" spans="1:2" ht="30" customHeight="1" x14ac:dyDescent="0.55000000000000004">
      <c r="A1" s="33" t="s">
        <v>0</v>
      </c>
      <c r="B1" s="32"/>
    </row>
    <row r="2" spans="1:2" ht="18" customHeight="1" x14ac:dyDescent="0.55000000000000004">
      <c r="A2" s="31" t="s">
        <v>1</v>
      </c>
      <c r="B2" s="32"/>
    </row>
    <row r="4" spans="1:2" ht="24" customHeight="1" x14ac:dyDescent="0.55000000000000004">
      <c r="A4" s="1" t="s">
        <v>2</v>
      </c>
      <c r="B4" s="1" t="s">
        <v>3</v>
      </c>
    </row>
    <row r="5" spans="1:2" ht="34" customHeight="1" x14ac:dyDescent="0.55000000000000004">
      <c r="A5" s="2" t="s">
        <v>4</v>
      </c>
      <c r="B5" s="3" t="s">
        <v>5</v>
      </c>
    </row>
    <row r="6" spans="1:2" ht="34" customHeight="1" x14ac:dyDescent="0.55000000000000004">
      <c r="A6" s="4" t="s">
        <v>6</v>
      </c>
      <c r="B6" s="5" t="s">
        <v>7</v>
      </c>
    </row>
    <row r="7" spans="1:2" ht="34" customHeight="1" x14ac:dyDescent="0.55000000000000004">
      <c r="A7" s="2" t="s">
        <v>8</v>
      </c>
      <c r="B7" s="3" t="s">
        <v>9</v>
      </c>
    </row>
    <row r="8" spans="1:2" ht="34" customHeight="1" x14ac:dyDescent="0.55000000000000004">
      <c r="A8" s="4" t="s">
        <v>10</v>
      </c>
      <c r="B8" s="5" t="s">
        <v>11</v>
      </c>
    </row>
    <row r="9" spans="1:2" ht="34" customHeight="1" x14ac:dyDescent="0.55000000000000004">
      <c r="A9" s="2" t="s">
        <v>12</v>
      </c>
      <c r="B9" s="3" t="s">
        <v>13</v>
      </c>
    </row>
    <row r="10" spans="1:2" ht="34" customHeight="1" x14ac:dyDescent="0.55000000000000004">
      <c r="A10" s="4" t="s">
        <v>14</v>
      </c>
      <c r="B10" s="5" t="s">
        <v>15</v>
      </c>
    </row>
    <row r="12" spans="1:2" ht="15" x14ac:dyDescent="0.55000000000000004">
      <c r="A12" s="6" t="s">
        <v>16</v>
      </c>
    </row>
    <row r="13" spans="1:2" x14ac:dyDescent="0.55000000000000004">
      <c r="A13" s="7" t="s">
        <v>17</v>
      </c>
      <c r="B13" s="8" t="s">
        <v>18</v>
      </c>
    </row>
    <row r="14" spans="1:2" x14ac:dyDescent="0.55000000000000004">
      <c r="A14" s="7" t="s">
        <v>19</v>
      </c>
      <c r="B14" s="8" t="s">
        <v>20</v>
      </c>
    </row>
    <row r="15" spans="1:2" x14ac:dyDescent="0.55000000000000004">
      <c r="A15" s="7" t="s">
        <v>21</v>
      </c>
      <c r="B15" s="8" t="s">
        <v>22</v>
      </c>
    </row>
    <row r="16" spans="1:2" x14ac:dyDescent="0.55000000000000004">
      <c r="A16" s="7" t="s">
        <v>23</v>
      </c>
      <c r="B16" s="8" t="s">
        <v>24</v>
      </c>
    </row>
    <row r="17" spans="1:2" x14ac:dyDescent="0.55000000000000004">
      <c r="A17" s="7" t="s">
        <v>25</v>
      </c>
      <c r="B17" s="8" t="s">
        <v>26</v>
      </c>
    </row>
    <row r="18" spans="1:2" x14ac:dyDescent="0.55000000000000004">
      <c r="A18" s="7" t="s">
        <v>27</v>
      </c>
      <c r="B18" s="8" t="s">
        <v>28</v>
      </c>
    </row>
  </sheetData>
  <mergeCells count="2">
    <mergeCell ref="A2:B2"/>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4"/>
  <sheetViews>
    <sheetView showGridLines="0" workbookViewId="0"/>
  </sheetViews>
  <sheetFormatPr defaultRowHeight="14.4" x14ac:dyDescent="0.55000000000000004"/>
  <cols>
    <col min="1" max="1" width="5" customWidth="1"/>
    <col min="2" max="2" width="26" customWidth="1"/>
    <col min="3" max="3" width="20" customWidth="1"/>
    <col min="4" max="4" width="34" customWidth="1"/>
    <col min="5" max="5" width="40" customWidth="1"/>
  </cols>
  <sheetData>
    <row r="1" spans="1:6" ht="30" customHeight="1" x14ac:dyDescent="0.55000000000000004">
      <c r="A1" s="33" t="s">
        <v>29</v>
      </c>
      <c r="B1" s="32"/>
      <c r="C1" s="32"/>
      <c r="D1" s="32"/>
      <c r="E1" s="32"/>
    </row>
    <row r="2" spans="1:6" ht="18" customHeight="1" x14ac:dyDescent="0.55000000000000004">
      <c r="A2" s="31" t="s">
        <v>30</v>
      </c>
      <c r="B2" s="32"/>
      <c r="C2" s="32"/>
      <c r="D2" s="32"/>
      <c r="E2" s="32"/>
    </row>
    <row r="4" spans="1:6" ht="26.05" customHeight="1" x14ac:dyDescent="0.55000000000000004">
      <c r="A4" s="9" t="s">
        <v>31</v>
      </c>
      <c r="B4" s="9" t="s">
        <v>32</v>
      </c>
      <c r="C4" s="9" t="s">
        <v>33</v>
      </c>
      <c r="D4" s="9" t="s">
        <v>34</v>
      </c>
      <c r="E4" s="9" t="s">
        <v>35</v>
      </c>
    </row>
    <row r="5" spans="1:6" ht="36" customHeight="1" x14ac:dyDescent="0.55000000000000004">
      <c r="A5" s="10">
        <v>1</v>
      </c>
      <c r="B5" s="3" t="s">
        <v>36</v>
      </c>
      <c r="C5" s="3" t="s">
        <v>37</v>
      </c>
      <c r="D5" s="3" t="s">
        <v>38</v>
      </c>
      <c r="E5" s="3" t="s">
        <v>39</v>
      </c>
    </row>
    <row r="6" spans="1:6" ht="36" customHeight="1" x14ac:dyDescent="0.55000000000000004">
      <c r="A6" s="11">
        <v>2</v>
      </c>
      <c r="B6" s="5" t="s">
        <v>40</v>
      </c>
      <c r="C6" s="5" t="s">
        <v>41</v>
      </c>
      <c r="D6" s="5" t="s">
        <v>42</v>
      </c>
      <c r="E6" s="5" t="s">
        <v>43</v>
      </c>
    </row>
    <row r="7" spans="1:6" ht="36" customHeight="1" x14ac:dyDescent="0.55000000000000004">
      <c r="A7" s="10">
        <v>3</v>
      </c>
      <c r="B7" s="3" t="s">
        <v>44</v>
      </c>
      <c r="C7" s="3" t="s">
        <v>45</v>
      </c>
      <c r="D7" s="3" t="s">
        <v>46</v>
      </c>
      <c r="E7" s="3" t="s">
        <v>47</v>
      </c>
    </row>
    <row r="8" spans="1:6" ht="36" customHeight="1" x14ac:dyDescent="0.55000000000000004">
      <c r="A8" s="11">
        <v>4</v>
      </c>
      <c r="B8" s="5" t="s">
        <v>48</v>
      </c>
      <c r="C8" s="5" t="s">
        <v>49</v>
      </c>
      <c r="D8" s="5" t="s">
        <v>50</v>
      </c>
      <c r="E8" s="5" t="s">
        <v>51</v>
      </c>
    </row>
    <row r="9" spans="1:6" ht="36" customHeight="1" x14ac:dyDescent="0.55000000000000004">
      <c r="A9" s="10">
        <v>5</v>
      </c>
      <c r="B9" s="3" t="s">
        <v>52</v>
      </c>
      <c r="C9" s="3" t="s">
        <v>53</v>
      </c>
      <c r="D9" s="3" t="s">
        <v>54</v>
      </c>
      <c r="E9" s="3" t="s">
        <v>55</v>
      </c>
    </row>
    <row r="10" spans="1:6" ht="36" customHeight="1" x14ac:dyDescent="0.55000000000000004">
      <c r="A10" s="11">
        <v>6</v>
      </c>
      <c r="B10" s="5" t="s">
        <v>56</v>
      </c>
      <c r="C10" s="5" t="s">
        <v>57</v>
      </c>
      <c r="D10" s="5" t="s">
        <v>58</v>
      </c>
      <c r="E10" s="5" t="s">
        <v>59</v>
      </c>
    </row>
    <row r="12" spans="1:6" ht="15" x14ac:dyDescent="0.55000000000000004">
      <c r="A12" s="6" t="s">
        <v>60</v>
      </c>
    </row>
    <row r="13" spans="1:6" x14ac:dyDescent="0.55000000000000004">
      <c r="A13" s="12"/>
      <c r="B13" s="12" t="s">
        <v>61</v>
      </c>
      <c r="C13" s="12" t="s">
        <v>62</v>
      </c>
      <c r="D13" s="12" t="s">
        <v>63</v>
      </c>
      <c r="E13" s="12" t="s">
        <v>64</v>
      </c>
      <c r="F13" s="12" t="s">
        <v>65</v>
      </c>
    </row>
    <row r="14" spans="1:6" x14ac:dyDescent="0.55000000000000004">
      <c r="A14" s="13" t="s">
        <v>66</v>
      </c>
      <c r="B14" s="14">
        <v>3</v>
      </c>
      <c r="C14" s="14">
        <v>6</v>
      </c>
      <c r="D14" s="14">
        <v>9</v>
      </c>
      <c r="E14" s="14">
        <v>12</v>
      </c>
      <c r="F14" s="15">
        <f>SUM(B14:E14)</f>
        <v>30</v>
      </c>
    </row>
  </sheetData>
  <mergeCells count="2">
    <mergeCell ref="A2:E2"/>
    <mergeCell ref="A1:E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3"/>
  <sheetViews>
    <sheetView showGridLines="0" workbookViewId="0"/>
  </sheetViews>
  <sheetFormatPr defaultRowHeight="14.4" x14ac:dyDescent="0.55000000000000004"/>
  <cols>
    <col min="1" max="1" width="24" customWidth="1"/>
    <col min="2" max="2" width="82" customWidth="1"/>
  </cols>
  <sheetData>
    <row r="1" spans="1:2" ht="30" customHeight="1" x14ac:dyDescent="0.55000000000000004">
      <c r="A1" s="33" t="s">
        <v>67</v>
      </c>
      <c r="B1" s="32"/>
    </row>
    <row r="2" spans="1:2" ht="18" customHeight="1" x14ac:dyDescent="0.55000000000000004">
      <c r="A2" s="31" t="s">
        <v>68</v>
      </c>
      <c r="B2" s="32"/>
    </row>
    <row r="4" spans="1:2" ht="26.05" customHeight="1" x14ac:dyDescent="0.55000000000000004">
      <c r="A4" s="9" t="s">
        <v>69</v>
      </c>
      <c r="B4" s="9" t="s">
        <v>3</v>
      </c>
    </row>
    <row r="5" spans="1:2" ht="32.049999999999997" customHeight="1" x14ac:dyDescent="0.55000000000000004">
      <c r="A5" s="2" t="s">
        <v>70</v>
      </c>
      <c r="B5" s="3" t="s">
        <v>71</v>
      </c>
    </row>
    <row r="6" spans="1:2" ht="32.049999999999997" customHeight="1" x14ac:dyDescent="0.55000000000000004">
      <c r="A6" s="4" t="s">
        <v>72</v>
      </c>
      <c r="B6" s="5" t="s">
        <v>73</v>
      </c>
    </row>
    <row r="7" spans="1:2" ht="32.049999999999997" customHeight="1" x14ac:dyDescent="0.55000000000000004">
      <c r="A7" s="2" t="s">
        <v>74</v>
      </c>
      <c r="B7" s="3" t="s">
        <v>75</v>
      </c>
    </row>
    <row r="8" spans="1:2" ht="32.049999999999997" customHeight="1" x14ac:dyDescent="0.55000000000000004">
      <c r="A8" s="4" t="s">
        <v>76</v>
      </c>
      <c r="B8" s="5" t="s">
        <v>77</v>
      </c>
    </row>
    <row r="9" spans="1:2" ht="32.049999999999997" customHeight="1" x14ac:dyDescent="0.55000000000000004">
      <c r="A9" s="2" t="s">
        <v>78</v>
      </c>
      <c r="B9" s="3" t="s">
        <v>79</v>
      </c>
    </row>
    <row r="10" spans="1:2" ht="32.049999999999997" customHeight="1" x14ac:dyDescent="0.55000000000000004">
      <c r="A10" s="4" t="s">
        <v>80</v>
      </c>
      <c r="B10" s="5" t="s">
        <v>81</v>
      </c>
    </row>
    <row r="11" spans="1:2" ht="32.049999999999997" customHeight="1" x14ac:dyDescent="0.55000000000000004">
      <c r="A11" s="2" t="s">
        <v>82</v>
      </c>
      <c r="B11" s="3" t="s">
        <v>83</v>
      </c>
    </row>
    <row r="12" spans="1:2" ht="32.049999999999997" customHeight="1" x14ac:dyDescent="0.55000000000000004">
      <c r="A12" s="4" t="s">
        <v>84</v>
      </c>
      <c r="B12" s="5" t="s">
        <v>85</v>
      </c>
    </row>
    <row r="13" spans="1:2" ht="32.049999999999997" customHeight="1" x14ac:dyDescent="0.55000000000000004">
      <c r="A13" s="2" t="s">
        <v>86</v>
      </c>
      <c r="B13" s="3" t="s">
        <v>87</v>
      </c>
    </row>
  </sheetData>
  <mergeCells count="2">
    <mergeCell ref="A2:B2"/>
    <mergeCell ref="A1:B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7"/>
  <sheetViews>
    <sheetView showGridLines="0" workbookViewId="0"/>
  </sheetViews>
  <sheetFormatPr defaultRowHeight="14.4" x14ac:dyDescent="0.55000000000000004"/>
  <cols>
    <col min="1" max="1" width="5" customWidth="1"/>
    <col min="2" max="2" width="30" customWidth="1"/>
    <col min="3" max="3" width="50" customWidth="1"/>
    <col min="4" max="4" width="26" customWidth="1"/>
  </cols>
  <sheetData>
    <row r="1" spans="1:4" ht="30" customHeight="1" x14ac:dyDescent="0.55000000000000004">
      <c r="A1" s="33" t="s">
        <v>88</v>
      </c>
      <c r="B1" s="32"/>
      <c r="C1" s="32"/>
      <c r="D1" s="32"/>
    </row>
    <row r="2" spans="1:4" ht="18" customHeight="1" x14ac:dyDescent="0.55000000000000004">
      <c r="A2" s="31" t="s">
        <v>89</v>
      </c>
      <c r="B2" s="32"/>
      <c r="C2" s="32"/>
      <c r="D2" s="32"/>
    </row>
    <row r="4" spans="1:4" ht="26.05" customHeight="1" x14ac:dyDescent="0.55000000000000004">
      <c r="A4" s="9" t="s">
        <v>31</v>
      </c>
      <c r="B4" s="9" t="s">
        <v>90</v>
      </c>
      <c r="C4" s="9" t="s">
        <v>91</v>
      </c>
      <c r="D4" s="9" t="s">
        <v>92</v>
      </c>
    </row>
    <row r="5" spans="1:4" ht="60" customHeight="1" x14ac:dyDescent="0.55000000000000004">
      <c r="A5" s="10">
        <v>1</v>
      </c>
      <c r="B5" s="3" t="s">
        <v>93</v>
      </c>
      <c r="C5" s="3" t="s">
        <v>94</v>
      </c>
      <c r="D5" s="3" t="s">
        <v>95</v>
      </c>
    </row>
    <row r="6" spans="1:4" ht="60" customHeight="1" x14ac:dyDescent="0.55000000000000004">
      <c r="A6" s="11">
        <v>2</v>
      </c>
      <c r="B6" s="5" t="s">
        <v>96</v>
      </c>
      <c r="C6" s="5" t="s">
        <v>97</v>
      </c>
      <c r="D6" s="5" t="s">
        <v>98</v>
      </c>
    </row>
    <row r="7" spans="1:4" ht="60" customHeight="1" x14ac:dyDescent="0.55000000000000004">
      <c r="A7" s="10">
        <v>3</v>
      </c>
      <c r="B7" s="3" t="s">
        <v>99</v>
      </c>
      <c r="C7" s="3" t="s">
        <v>100</v>
      </c>
      <c r="D7" s="3" t="s">
        <v>101</v>
      </c>
    </row>
  </sheetData>
  <mergeCells count="2">
    <mergeCell ref="A1:D1"/>
    <mergeCell ref="A2:D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7"/>
  <sheetViews>
    <sheetView showGridLines="0" workbookViewId="0"/>
  </sheetViews>
  <sheetFormatPr defaultRowHeight="14.4" x14ac:dyDescent="0.55000000000000004"/>
  <cols>
    <col min="1" max="1" width="26" customWidth="1"/>
    <col min="2" max="2" width="34" customWidth="1"/>
    <col min="3" max="3" width="52" customWidth="1"/>
  </cols>
  <sheetData>
    <row r="1" spans="1:3" ht="30" customHeight="1" x14ac:dyDescent="0.55000000000000004">
      <c r="A1" s="33" t="s">
        <v>102</v>
      </c>
      <c r="B1" s="32"/>
      <c r="C1" s="32"/>
    </row>
    <row r="2" spans="1:3" ht="18" customHeight="1" x14ac:dyDescent="0.55000000000000004">
      <c r="A2" s="31" t="s">
        <v>103</v>
      </c>
      <c r="B2" s="32"/>
      <c r="C2" s="32"/>
    </row>
    <row r="4" spans="1:3" ht="26.05" customHeight="1" x14ac:dyDescent="0.55000000000000004">
      <c r="A4" s="9" t="s">
        <v>104</v>
      </c>
      <c r="B4" s="9" t="s">
        <v>105</v>
      </c>
      <c r="C4" s="9" t="s">
        <v>106</v>
      </c>
    </row>
    <row r="5" spans="1:3" ht="54" customHeight="1" x14ac:dyDescent="0.55000000000000004">
      <c r="A5" s="3" t="s">
        <v>107</v>
      </c>
      <c r="B5" s="3" t="s">
        <v>108</v>
      </c>
      <c r="C5" s="3" t="s">
        <v>109</v>
      </c>
    </row>
    <row r="6" spans="1:3" ht="54" customHeight="1" x14ac:dyDescent="0.55000000000000004">
      <c r="A6" s="5" t="s">
        <v>110</v>
      </c>
      <c r="B6" s="5" t="s">
        <v>111</v>
      </c>
      <c r="C6" s="5" t="s">
        <v>112</v>
      </c>
    </row>
    <row r="7" spans="1:3" ht="54" customHeight="1" x14ac:dyDescent="0.55000000000000004">
      <c r="A7" s="3" t="s">
        <v>113</v>
      </c>
      <c r="B7" s="3" t="s">
        <v>114</v>
      </c>
      <c r="C7" s="3" t="s">
        <v>115</v>
      </c>
    </row>
  </sheetData>
  <mergeCells count="2">
    <mergeCell ref="A1:C1"/>
    <mergeCell ref="A2:C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
  <sheetViews>
    <sheetView showGridLines="0" workbookViewId="0"/>
  </sheetViews>
  <sheetFormatPr defaultRowHeight="14.4" x14ac:dyDescent="0.55000000000000004"/>
  <cols>
    <col min="1" max="1" width="10" customWidth="1"/>
    <col min="2" max="2" width="22" customWidth="1"/>
    <col min="3" max="3" width="50" customWidth="1"/>
    <col min="4" max="4" width="14" customWidth="1"/>
    <col min="5" max="5" width="18" customWidth="1"/>
    <col min="6" max="6" width="20" customWidth="1"/>
  </cols>
  <sheetData>
    <row r="1" spans="1:6" ht="30" customHeight="1" x14ac:dyDescent="0.55000000000000004">
      <c r="A1" s="33" t="s">
        <v>116</v>
      </c>
      <c r="B1" s="32"/>
      <c r="C1" s="32"/>
      <c r="D1" s="32"/>
      <c r="E1" s="32"/>
      <c r="F1" s="32"/>
    </row>
    <row r="2" spans="1:6" ht="18" customHeight="1" x14ac:dyDescent="0.55000000000000004">
      <c r="A2" s="31" t="s">
        <v>117</v>
      </c>
      <c r="B2" s="32"/>
      <c r="C2" s="32"/>
      <c r="D2" s="32"/>
      <c r="E2" s="32"/>
      <c r="F2" s="32"/>
    </row>
    <row r="3" spans="1:6" ht="22" customHeight="1" x14ac:dyDescent="0.55000000000000004">
      <c r="A3" s="34" t="s">
        <v>118</v>
      </c>
      <c r="B3" s="32"/>
      <c r="C3" s="16">
        <v>0</v>
      </c>
      <c r="D3" s="35" t="s">
        <v>119</v>
      </c>
      <c r="E3" s="32"/>
      <c r="F3" s="32"/>
    </row>
    <row r="5" spans="1:6" ht="26.05" customHeight="1" x14ac:dyDescent="0.55000000000000004">
      <c r="A5" s="9" t="s">
        <v>120</v>
      </c>
      <c r="B5" s="9" t="s">
        <v>121</v>
      </c>
      <c r="C5" s="9" t="s">
        <v>122</v>
      </c>
      <c r="D5" s="9" t="s">
        <v>66</v>
      </c>
      <c r="E5" s="9" t="s">
        <v>123</v>
      </c>
      <c r="F5" s="9" t="s">
        <v>124</v>
      </c>
    </row>
    <row r="6" spans="1:6" ht="60" customHeight="1" x14ac:dyDescent="0.55000000000000004">
      <c r="A6" s="17" t="s">
        <v>61</v>
      </c>
      <c r="B6" s="3" t="s">
        <v>125</v>
      </c>
      <c r="C6" s="3" t="s">
        <v>126</v>
      </c>
      <c r="D6" s="18">
        <v>3</v>
      </c>
      <c r="E6" s="19">
        <v>0.1</v>
      </c>
      <c r="F6" s="20">
        <f>E6*$C$3</f>
        <v>0</v>
      </c>
    </row>
    <row r="7" spans="1:6" ht="60" customHeight="1" x14ac:dyDescent="0.55000000000000004">
      <c r="A7" s="21" t="s">
        <v>62</v>
      </c>
      <c r="B7" s="5" t="s">
        <v>127</v>
      </c>
      <c r="C7" s="5" t="s">
        <v>128</v>
      </c>
      <c r="D7" s="22">
        <v>6</v>
      </c>
      <c r="E7" s="23">
        <v>0.2</v>
      </c>
      <c r="F7" s="24">
        <f>E7*$C$3</f>
        <v>0</v>
      </c>
    </row>
    <row r="8" spans="1:6" ht="60" customHeight="1" x14ac:dyDescent="0.55000000000000004">
      <c r="A8" s="17" t="s">
        <v>63</v>
      </c>
      <c r="B8" s="3" t="s">
        <v>129</v>
      </c>
      <c r="C8" s="3" t="s">
        <v>130</v>
      </c>
      <c r="D8" s="18">
        <v>9</v>
      </c>
      <c r="E8" s="19">
        <v>0.45</v>
      </c>
      <c r="F8" s="20">
        <f>E8*$C$3</f>
        <v>0</v>
      </c>
    </row>
    <row r="9" spans="1:6" ht="60" customHeight="1" x14ac:dyDescent="0.55000000000000004">
      <c r="A9" s="21" t="s">
        <v>64</v>
      </c>
      <c r="B9" s="5" t="s">
        <v>131</v>
      </c>
      <c r="C9" s="5" t="s">
        <v>132</v>
      </c>
      <c r="D9" s="22">
        <v>12</v>
      </c>
      <c r="E9" s="23">
        <v>0.25</v>
      </c>
      <c r="F9" s="24">
        <f>E9*$C$3</f>
        <v>0</v>
      </c>
    </row>
    <row r="10" spans="1:6" x14ac:dyDescent="0.55000000000000004">
      <c r="A10" s="25" t="s">
        <v>65</v>
      </c>
      <c r="B10" s="26"/>
      <c r="C10" s="26"/>
      <c r="D10" s="27">
        <f>SUM(D6:D9)</f>
        <v>30</v>
      </c>
      <c r="E10" s="28">
        <f>SUM(E6:E9)</f>
        <v>1</v>
      </c>
      <c r="F10" s="29">
        <f>SUM(F6:F9)</f>
        <v>0</v>
      </c>
    </row>
  </sheetData>
  <mergeCells count="4">
    <mergeCell ref="A2:F2"/>
    <mergeCell ref="A3:B3"/>
    <mergeCell ref="A1:F1"/>
    <mergeCell ref="D3:F3"/>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8"/>
  <sheetViews>
    <sheetView showGridLines="0" workbookViewId="0"/>
  </sheetViews>
  <sheetFormatPr defaultRowHeight="14.4" x14ac:dyDescent="0.55000000000000004"/>
  <cols>
    <col min="1" max="1" width="5" customWidth="1"/>
    <col min="2" max="2" width="60" customWidth="1"/>
    <col min="3" max="3" width="40" customWidth="1"/>
  </cols>
  <sheetData>
    <row r="1" spans="1:3" ht="30" customHeight="1" x14ac:dyDescent="0.55000000000000004">
      <c r="A1" s="33" t="s">
        <v>133</v>
      </c>
      <c r="B1" s="32"/>
      <c r="C1" s="32"/>
    </row>
    <row r="2" spans="1:3" ht="18" customHeight="1" x14ac:dyDescent="0.55000000000000004">
      <c r="A2" s="31" t="s">
        <v>134</v>
      </c>
      <c r="B2" s="32"/>
      <c r="C2" s="32"/>
    </row>
    <row r="4" spans="1:3" ht="26.05" customHeight="1" x14ac:dyDescent="0.55000000000000004">
      <c r="A4" s="9" t="s">
        <v>31</v>
      </c>
      <c r="B4" s="9" t="s">
        <v>86</v>
      </c>
      <c r="C4" s="9" t="s">
        <v>135</v>
      </c>
    </row>
    <row r="5" spans="1:3" ht="40" customHeight="1" x14ac:dyDescent="0.55000000000000004">
      <c r="A5" s="18">
        <v>1</v>
      </c>
      <c r="B5" s="3" t="s">
        <v>136</v>
      </c>
      <c r="C5" s="30"/>
    </row>
    <row r="6" spans="1:3" ht="40" customHeight="1" x14ac:dyDescent="0.55000000000000004">
      <c r="A6" s="22">
        <v>2</v>
      </c>
      <c r="B6" s="5" t="s">
        <v>137</v>
      </c>
      <c r="C6" s="30"/>
    </row>
    <row r="7" spans="1:3" ht="40" customHeight="1" x14ac:dyDescent="0.55000000000000004">
      <c r="A7" s="18">
        <v>3</v>
      </c>
      <c r="B7" s="3" t="s">
        <v>138</v>
      </c>
      <c r="C7" s="30"/>
    </row>
    <row r="8" spans="1:3" ht="40" customHeight="1" x14ac:dyDescent="0.55000000000000004">
      <c r="A8" s="22">
        <v>4</v>
      </c>
      <c r="B8" s="5" t="s">
        <v>139</v>
      </c>
      <c r="C8" s="30"/>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Tong quan</vt:lpstr>
      <vt:lpstr>Muc tieu</vt:lpstr>
      <vt:lpstr>Chan dung KH</vt:lpstr>
      <vt:lpstr>Thong diep</vt:lpstr>
      <vt:lpstr>Kenh</vt:lpstr>
      <vt:lpstr>Lich 4 tuan</vt:lpstr>
      <vt:lpstr>Can bo 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Tuấn Anh</cp:lastModifiedBy>
  <dcterms:created xsi:type="dcterms:W3CDTF">2026-07-10T08:47:59Z</dcterms:created>
  <dcterms:modified xsi:type="dcterms:W3CDTF">2026-07-10T08:53:25Z</dcterms:modified>
</cp:coreProperties>
</file>